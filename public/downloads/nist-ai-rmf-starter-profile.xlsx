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rofile assessment" sheetId="2" state="visible" r:id="rId4"/>
    <sheet name="Rating scale" sheetId="3" state="visible" r:id="rId5"/>
    <sheet name="Crosswalk" sheetId="4" state="visible" r:id="rId6"/>
    <sheet name="Summary" sheetId="5" state="visible" r:id="rId7"/>
    <sheet name="Sour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<sst xmlns="http://schemas.openxmlformats.org/spreadsheetml/2006/main" count="270" uniqueCount="232">
  <si>
    <t xml:space="preserve">Strategy to Systems. Delivered.</t>
  </si>
  <si>
    <t xml:space="preserve">NIST AI RMF starter profile</t>
  </si>
  <si>
    <t xml:space="preserve">A self assessment against the four functions of the NIST AI Risk Management Framework, sized for a company that does not have an AI risk team.</t>
  </si>
  <si>
    <t xml:space="preserve">What this is</t>
  </si>
  <si>
    <t xml:space="preserve">NIST calls a tailored application of the framework a Profile. This workbook is a starter profile. It takes the four functions of AI RMF 1.0 and turns each one into outcomes you can rate, own and evidence.</t>
  </si>
  <si>
    <t xml:space="preserve">It is not a compliance test. Nobody certifies anyone against the AI RMF, and no score here proves anything to a regulator. What it produces is a ranked list of the gaps that matter most in your business.</t>
  </si>
  <si>
    <t xml:space="preserve">How to use it</t>
  </si>
  <si>
    <t xml:space="preserve">1. Work through the Profile assessment tab. Twenty six outcomes, grouped by function.</t>
  </si>
  <si>
    <t xml:space="preserve">2. Rate each one from 0 to 3 using the Rating scale tab. Rate what is true today, not what is planned.</t>
  </si>
  <si>
    <t xml:space="preserve">3. Name an owner for every outcome you rate 2 or 3. An outcome with no owner is not really operating.</t>
  </si>
  <si>
    <t xml:space="preserve">4. Record where the evidence sits. A rating with no evidence location is an opinion.</t>
  </si>
  <si>
    <t xml:space="preserve">5. Read the Summary tab. It tells you which function is weakest and where the unowned rows are.</t>
  </si>
  <si>
    <t xml:space="preserve">Which cells to edit</t>
  </si>
  <si>
    <t xml:space="preserve">Yellow columns are yours to fill in.</t>
  </si>
  <si>
    <t xml:space="preserve">Blue columns calculate themselves. Do not type in them.</t>
  </si>
  <si>
    <t xml:space="preserve">Row 8 of the assessment is a worked example. Delete it once you have started your own.</t>
  </si>
  <si>
    <t xml:space="preserve">Do the Map function first if you have not already</t>
  </si>
  <si>
    <t xml:space="preserve">Map asks what AI you are actually running. Most organisations cannot answer that, because AI arrived as features inside software they already licensed rather than as projects anyone approved.</t>
  </si>
  <si>
    <t xml:space="preserve">If you have completed the AI use case register from consult-ds.com/insights/ai-use-case-register, the Map rows here are mostly already answered. If you have not, start there. Measuring and managing a list you do not have is not possible.</t>
  </si>
  <si>
    <t xml:space="preserve">What this workbook does not do</t>
  </si>
  <si>
    <t xml:space="preserve">It does not tell you whether a use is lawful. The AI RMF is voluntary, non sector specific and use case agnostic, so it describes good practice rather than legal duties.</t>
  </si>
  <si>
    <t xml:space="preserve">Where a legal duty applies, it comes from somewhere else. The Crosswalk tab shows which framework to go and read.</t>
  </si>
  <si>
    <t xml:space="preserve">This is a management tool and not legal advice.</t>
  </si>
  <si>
    <t xml:space="preserve">Position at 8 September 2026</t>
  </si>
  <si>
    <t xml:space="preserve">AI RMF 1.0 (NIST AI 100-1, January 2023) is the current version. NIST has stated that it is being revised following the White House AI Action Plan of 23 July 2025, and that the Playbook will be updated after the revision lands.</t>
  </si>
  <si>
    <t xml:space="preserve">The four functions have been stable since 2023 and are the part of the framework least likely to move. Verify against the NIST source links on the Sources tab before relying on any wording here.</t>
  </si>
  <si>
    <t xml:space="preserve">Sources</t>
  </si>
  <si>
    <t xml:space="preserve">Every source used to build this workbook is published by NIST and listed with links on the Sources tab.</t>
  </si>
  <si>
    <t xml:space="preserve">Yellow columns are inputs. Blue columns calculate. Rate what is true today.</t>
  </si>
  <si>
    <t xml:space="preserve">consult-ds.com</t>
  </si>
  <si>
    <t xml:space="preserve">Ref</t>
  </si>
  <si>
    <t xml:space="preserve">Function</t>
  </si>
  <si>
    <t xml:space="preserve">Outcome</t>
  </si>
  <si>
    <t xml:space="preserve">What good looks like</t>
  </si>
  <si>
    <t xml:space="preserve">Rating 0-3</t>
  </si>
  <si>
    <t xml:space="preserve">What that means</t>
  </si>
  <si>
    <t xml:space="preserve">Owner</t>
  </si>
  <si>
    <t xml:space="preserve">Evidence location</t>
  </si>
  <si>
    <t xml:space="preserve">Next step</t>
  </si>
  <si>
    <t xml:space="preserve">GOV-01</t>
  </si>
  <si>
    <t xml:space="preserve">Govern</t>
  </si>
  <si>
    <t xml:space="preserve">One named person is accountable for AI risk across the business.</t>
  </si>
  <si>
    <t xml:space="preserve">A name, not a committee without a chair. They do not have to do the work, but they answer for it.</t>
  </si>
  <si>
    <t xml:space="preserve">Head of technology</t>
  </si>
  <si>
    <t xml:space="preserve">Not documented anywhere yet</t>
  </si>
  <si>
    <t xml:space="preserve">Put the name in the board pack for October</t>
  </si>
  <si>
    <t xml:space="preserve">GOV-02</t>
  </si>
  <si>
    <t xml:space="preserve">There is a written statement of what the business will and will not use AI for.</t>
  </si>
  <si>
    <t xml:space="preserve">Short and specific. Two pages that name real situations beat twenty pages of principle.</t>
  </si>
  <si>
    <t xml:space="preserve">GOV-03</t>
  </si>
  <si>
    <t xml:space="preserve">Risk tolerance is written in terms someone can apply on a Tuesday.</t>
  </si>
  <si>
    <t xml:space="preserve">For example: where a wrong output costs money or reputation, a named person signs it off before it goes out.</t>
  </si>
  <si>
    <t xml:space="preserve">GOV-04</t>
  </si>
  <si>
    <t xml:space="preserve">Building, owning and reviewing an AI use are three different people.</t>
  </si>
  <si>
    <t xml:space="preserve">The person who configured it should not be the only person judging whether it works.</t>
  </si>
  <si>
    <t xml:space="preserve">GOV-05</t>
  </si>
  <si>
    <t xml:space="preserve">Staff know enough about the AI they use to notice a wrong answer.</t>
  </si>
  <si>
    <t xml:space="preserve">Not training courses. Whether the people using it can tell when it is confidently wrong.</t>
  </si>
  <si>
    <t xml:space="preserve">GOV-06</t>
  </si>
  <si>
    <t xml:space="preserve">Third party AI is covered by the same rules as anything built in house.</t>
  </si>
  <si>
    <t xml:space="preserve">Including AI features that appeared in software you already licensed, which nobody approved.</t>
  </si>
  <si>
    <t xml:space="preserve">GOV-07</t>
  </si>
  <si>
    <t xml:space="preserve">Someone can raise a concern about an AI output without going through the person who deployed it.</t>
  </si>
  <si>
    <t xml:space="preserve">A route that does not depend on the goodwill of the owner of the system.</t>
  </si>
  <si>
    <t xml:space="preserve">MAP-01</t>
  </si>
  <si>
    <t xml:space="preserve">Map</t>
  </si>
  <si>
    <t xml:space="preserve">There is a current list of every place AI is used or planned.</t>
  </si>
  <si>
    <t xml:space="preserve">One row per use. Current means someone updated it this quarter, not at the last audit.</t>
  </si>
  <si>
    <t xml:space="preserve">MAP-02</t>
  </si>
  <si>
    <t xml:space="preserve">Each use is described by what it is for, not by which vendor supplies it.</t>
  </si>
  <si>
    <t xml:space="preserve">The same model summarising notes and ranking candidates are two different uses with different risk.</t>
  </si>
  <si>
    <t xml:space="preserve">MAP-03</t>
  </si>
  <si>
    <t xml:space="preserve">Who is affected by each use is written down.</t>
  </si>
  <si>
    <t xml:space="preserve">Including people who are not customers: applicants, suppliers, employees, patients, students.</t>
  </si>
  <si>
    <t xml:space="preserve">MAP-04</t>
  </si>
  <si>
    <t xml:space="preserve">The consequence of a wrong output is described in business terms for each use.</t>
  </si>
  <si>
    <t xml:space="preserve">Wrong invoice, wrong candidate rejected, wrong stock number. Not the word inaccuracy.</t>
  </si>
  <si>
    <t xml:space="preserve">MAP-05</t>
  </si>
  <si>
    <t xml:space="preserve">Uses that arrived as features in existing software are captured, not only approved projects.</t>
  </si>
  <si>
    <t xml:space="preserve">Check expense reports and card statements, not just the IT asset list.</t>
  </si>
  <si>
    <t xml:space="preserve">MAP-06</t>
  </si>
  <si>
    <t xml:space="preserve">The data feeding each use is known, including whether it contains personal data.</t>
  </si>
  <si>
    <t xml:space="preserve">This is the row that connects AI governance to your DPDP or GDPR obligations.</t>
  </si>
  <si>
    <t xml:space="preserve">MAP-07</t>
  </si>
  <si>
    <t xml:space="preserve">Each use records whether its output reaches a market with its own AI rules.</t>
  </si>
  <si>
    <t xml:space="preserve">Scope follows the output, not where the team sits. This field is the one most often filled in wrongly.</t>
  </si>
  <si>
    <t xml:space="preserve">MEA-01</t>
  </si>
  <si>
    <t xml:space="preserve">Measure</t>
  </si>
  <si>
    <t xml:space="preserve">Each use has at least one measure of whether it is working, agreed before go live.</t>
  </si>
  <si>
    <t xml:space="preserve">Agreed after go live is a justification. Agreed before is a control.</t>
  </si>
  <si>
    <t xml:space="preserve">MEA-02</t>
  </si>
  <si>
    <t xml:space="preserve">Someone checks output quality on a sample, on a stated rhythm.</t>
  </si>
  <si>
    <t xml:space="preserve">A named rhythm. Monthly on twenty cases beats continuously in principle.</t>
  </si>
  <si>
    <t xml:space="preserve">MEA-03</t>
  </si>
  <si>
    <t xml:space="preserve">Failures are recorded somewhere a second person can see them.</t>
  </si>
  <si>
    <t xml:space="preserve">If corrections happen silently inside one team, nobody can tell whether quality is moving.</t>
  </si>
  <si>
    <t xml:space="preserve">MEA-04</t>
  </si>
  <si>
    <t xml:space="preserve">Performance is checked across the groups the system affects, not only in aggregate.</t>
  </si>
  <si>
    <t xml:space="preserve">An average that looks fine can hide a group the system consistently gets wrong.</t>
  </si>
  <si>
    <t xml:space="preserve">MEA-05</t>
  </si>
  <si>
    <t xml:space="preserve">The things that are hard to count are still looked at.</t>
  </si>
  <si>
    <t xml:space="preserve">Whether staff have quietly stopped trusting the output is a real signal and it will not be in a dashboard.</t>
  </si>
  <si>
    <t xml:space="preserve">MEA-06</t>
  </si>
  <si>
    <t xml:space="preserve">You would know if quality moved after a vendor updated their model.</t>
  </si>
  <si>
    <t xml:space="preserve">Vendors change models without asking. A measure that only ran at go live cannot see that.</t>
  </si>
  <si>
    <t xml:space="preserve">MAN-01</t>
  </si>
  <si>
    <t xml:space="preserve">Manage</t>
  </si>
  <si>
    <t xml:space="preserve">Uses are ranked, so effort goes to the ones that matter.</t>
  </si>
  <si>
    <t xml:space="preserve">Treating fifteen use cases as equally important is the same as having no priorities.</t>
  </si>
  <si>
    <t xml:space="preserve">MAN-02</t>
  </si>
  <si>
    <t xml:space="preserve">Each significant use has a documented way to turn it off or fall back to manual.</t>
  </si>
  <si>
    <t xml:space="preserve">Written down and tried at least once. An untested fallback is a hope.</t>
  </si>
  <si>
    <t xml:space="preserve">MAN-03</t>
  </si>
  <si>
    <t xml:space="preserve">Human review is real, meaning the reviewer has time, authority and information to overrule.</t>
  </si>
  <si>
    <t xml:space="preserve">A reviewer with forty cases an hour and no context is a signature, not a control.</t>
  </si>
  <si>
    <t xml:space="preserve">MAN-04</t>
  </si>
  <si>
    <t xml:space="preserve">Incidents have a response path with a named owner and a time expectation.</t>
  </si>
  <si>
    <t xml:space="preserve">Who is called, who decides to switch it off, and by when.</t>
  </si>
  <si>
    <t xml:space="preserve">MAN-05</t>
  </si>
  <si>
    <t xml:space="preserve">Vendor contracts carry the obligations you need, including notice of model changes.</t>
  </si>
  <si>
    <t xml:space="preserve">Most standard terms do not. This is usually found at renewal, which is the wrong time.</t>
  </si>
  <si>
    <t xml:space="preserve">MAN-06</t>
  </si>
  <si>
    <t xml:space="preserve">A decision to accept a risk is recorded, with who accepted it and when.</t>
  </si>
  <si>
    <t xml:space="preserve">Accepted risk is a legitimate answer. Unrecorded accepted risk is an argument waiting to happen.</t>
  </si>
  <si>
    <t xml:space="preserve">Rate what is true today. A generous rating produces a comfortable summary and no useful next step.</t>
  </si>
  <si>
    <t xml:space="preserve">Rating scale</t>
  </si>
  <si>
    <t xml:space="preserve">Four points. Deliberately no half marks.</t>
  </si>
  <si>
    <t xml:space="preserve">Rating</t>
  </si>
  <si>
    <t xml:space="preserve">Label</t>
  </si>
  <si>
    <t xml:space="preserve">What it means</t>
  </si>
  <si>
    <t xml:space="preserve">Not started</t>
  </si>
  <si>
    <t xml:space="preserve">Nobody has done this and nobody is assigned to it.</t>
  </si>
  <si>
    <t xml:space="preserve">Ad hoc</t>
  </si>
  <si>
    <t xml:space="preserve">It happens sometimes, because a particular person cares. It would stop if they left.</t>
  </si>
  <si>
    <t xml:space="preserve">Defined</t>
  </si>
  <si>
    <t xml:space="preserve">It is written down and someone owns it. It may not be running on a rhythm yet.</t>
  </si>
  <si>
    <t xml:space="preserve">Operating</t>
  </si>
  <si>
    <t xml:space="preserve">It runs on a stated rhythm, produces evidence, and someone would notice if it stopped.</t>
  </si>
  <si>
    <t xml:space="preserve">How to use the scale honestly</t>
  </si>
  <si>
    <t xml:space="preserve">The gap between 1 and 2 is documentation. The gap between 2 and 3 is rhythm and evidence.</t>
  </si>
  <si>
    <t xml:space="preserve">Most organisations starting this work score 1 across most rows. That is a normal starting position, not a failure.</t>
  </si>
  <si>
    <t xml:space="preserve">A profile with no zeros and no ones on the first pass usually means the rating was done by the person who would be embarrassed by a low score.</t>
  </si>
  <si>
    <t xml:space="preserve">There is no passing score</t>
  </si>
  <si>
    <t xml:space="preserve">The AI RMF sets no threshold and NIST issues no certification against it. The output that matters is the list of rows sitting at 0 or 1 in the function you depend on most.</t>
  </si>
  <si>
    <t xml:space="preserve">Crosswalk</t>
  </si>
  <si>
    <t xml:space="preserve">Orientation, not a control mapping. Use it to find which document to go and read.</t>
  </si>
  <si>
    <t xml:space="preserve">AI RMF function</t>
  </si>
  <si>
    <t xml:space="preserve">What it asks of you</t>
  </si>
  <si>
    <t xml:space="preserve">EU AI Act</t>
  </si>
  <si>
    <t xml:space="preserve">ISO/IEC 42001</t>
  </si>
  <si>
    <t xml:space="preserve">India DPDP Act</t>
  </si>
  <si>
    <t xml:space="preserve">Accountability, policy, risk tolerance, staff capability, and rules that cover third party AI.</t>
  </si>
  <si>
    <t xml:space="preserve">AI literacy duties and the provider or deployer distinction. Your role determines your obligations.</t>
  </si>
  <si>
    <t xml:space="preserve">The management system itself. This is the part that is certifiable, and the reason firms adopt both.</t>
  </si>
  <si>
    <t xml:space="preserve">Accountability of the data fiduciary, and the duty to have someone answerable for personal data.</t>
  </si>
  <si>
    <t xml:space="preserve">Knowing what AI you run, what it is for, who it affects and what a wrong output costs.</t>
  </si>
  <si>
    <t xml:space="preserve">Classification by purpose into risk tiers, plus the separate transparency triggers.</t>
  </si>
  <si>
    <t xml:space="preserve">Scope of the management system and identification of AI systems within it.</t>
  </si>
  <si>
    <t xml:space="preserve">Purpose limitation and knowing which processing involves personal data.</t>
  </si>
  <si>
    <t xml:space="preserve">Testing whether a system works, on a rhythm, across the groups it affects.</t>
  </si>
  <si>
    <t xml:space="preserve">Testing, logging and post market monitoring duties where high risk obligations apply.</t>
  </si>
  <si>
    <t xml:space="preserve">Performance evaluation, internal audit and monitoring.</t>
  </si>
  <si>
    <t xml:space="preserve">Accuracy and completeness duties where personal data drives a decision.</t>
  </si>
  <si>
    <t xml:space="preserve">Prioritising, responding to incidents, real human review, fallback, and recorded risk acceptance.</t>
  </si>
  <si>
    <t xml:space="preserve">Human oversight, corrective action and incident reporting where high risk obligations apply.</t>
  </si>
  <si>
    <t xml:space="preserve">Operational controls, nonconformity handling and continual improvement.</t>
  </si>
  <si>
    <t xml:space="preserve">Breach notification and the security safeguards duty.</t>
  </si>
  <si>
    <t xml:space="preserve">Read this as orientation</t>
  </si>
  <si>
    <t xml:space="preserve">The columns are not equivalent and doing one does not discharge another. The AI RMF is voluntary and describes practice. The EU AI Act is law with dates and penalties. ISO/IEC 42001 is a certifiable management system standard. The DPDP Act governs personal data, which most AI uses touch somewhere.</t>
  </si>
  <si>
    <t xml:space="preserve">NIST publishes formal crosswalk documents mapping the AI RMF to other frameworks. They are linked on the Sources tab and are the right place to go if you need a control level mapping.</t>
  </si>
  <si>
    <t xml:space="preserve">Two things worth knowing before someone sells you either</t>
  </si>
  <si>
    <t xml:space="preserve">There is no NIST AI RMF certification. Anyone offering one is selling ISO/IEC 42001, or selling nothing.</t>
  </si>
  <si>
    <t xml:space="preserve">EU AI Act dates have moved more than once. Verify them at the source rather than from a summary, including ours.</t>
  </si>
  <si>
    <t xml:space="preserve">Summary</t>
  </si>
  <si>
    <t xml:space="preserve">Calculates from the assessment. Nothing to fill in here.</t>
  </si>
  <si>
    <t xml:space="preserve">Rated</t>
  </si>
  <si>
    <t xml:space="preserve">Average</t>
  </si>
  <si>
    <t xml:space="preserve">Rows still at 0 or 1</t>
  </si>
  <si>
    <t xml:space="preserve">Total outcomes rated</t>
  </si>
  <si>
    <t xml:space="preserve">Out of 26</t>
  </si>
  <si>
    <t xml:space="preserve">Where to start</t>
  </si>
  <si>
    <t xml:space="preserve">Weakest function</t>
  </si>
  <si>
    <t xml:space="preserve">Not necessarily the one to fix first. Fix the function your business depends on most.</t>
  </si>
  <si>
    <t xml:space="preserve">Gaps worth closing</t>
  </si>
  <si>
    <t xml:space="preserve">Rows rated 2 or 3 with no owner</t>
  </si>
  <si>
    <t xml:space="preserve">An outcome nobody owns is not operating, whatever it was rated.</t>
  </si>
  <si>
    <t xml:space="preserve">Rows rated 2 or 3 with no evidence location</t>
  </si>
  <si>
    <t xml:space="preserve">A rating with no evidence behind it will not survive the first customer questionnaire.</t>
  </si>
  <si>
    <t xml:space="preserve">Rows not yet rated</t>
  </si>
  <si>
    <t xml:space="preserve">An unrated row is usually a row nobody could answer, which is itself the finding.</t>
  </si>
  <si>
    <t xml:space="preserve">Reading the result</t>
  </si>
  <si>
    <t xml:space="preserve">A low average across Map means you do not yet know what you run. Nothing downstream of that is reliable, including a high score on Govern.</t>
  </si>
  <si>
    <t xml:space="preserve">A high Govern score with a low Manage score is the commonest pattern. It means the policy exists and nothing happens differently on the ground.</t>
  </si>
  <si>
    <t xml:space="preserve">The useful output is not the average. It is the list of rows at 0 or 1 attached to the AI use your business would most regret getting wrong.</t>
  </si>
  <si>
    <t xml:space="preserve">All primary, all published by NIST. Verified 8 September 2026.</t>
  </si>
  <si>
    <t xml:space="preserve">Document</t>
  </si>
  <si>
    <t xml:space="preserve">Link</t>
  </si>
  <si>
    <t xml:space="preserve">Why it matters</t>
  </si>
  <si>
    <t xml:space="preserve">AI RMF 1.0 (NIST AI 100-1), January 2023</t>
  </si>
  <si>
    <t xml:space="preserve">https://nvlpubs.nist.gov/nistpubs/ai/NIST.AI.100-1.pdf</t>
  </si>
  <si>
    <t xml:space="preserve">The framework itself. Around forty pages. The four functions and the trustworthiness characteristics are here.</t>
  </si>
  <si>
    <t xml:space="preserve">NIST AI RMF programme page</t>
  </si>
  <si>
    <t xml:space="preserve">https://www.nist.gov/itl/ai-risk-management-framework</t>
  </si>
  <si>
    <t xml:space="preserve">The page to check for the current status, including the revision now in progress.</t>
  </si>
  <si>
    <t xml:space="preserve">AI RMF Playbook</t>
  </si>
  <si>
    <t xml:space="preserve">https://airc.nist.gov/airmf-resources/playbook/</t>
  </si>
  <si>
    <t xml:space="preserve">Suggested actions for each subcategory. Far more operational than the framework. Will be updated after the revision.</t>
  </si>
  <si>
    <t xml:space="preserve">AI RMF Core, functions and categories</t>
  </si>
  <si>
    <t xml:space="preserve">https://airc.nist.gov/airmf-resources/airmf/5-sec-core/</t>
  </si>
  <si>
    <t xml:space="preserve">Where Govern, Map, Measure and Manage are broken into categories and subcategories.</t>
  </si>
  <si>
    <t xml:space="preserve">AI RMF Profiles</t>
  </si>
  <si>
    <t xml:space="preserve">https://airc.nist.gov/airmf-resources/airmf/6-sec-profile/</t>
  </si>
  <si>
    <t xml:space="preserve">NIST's own description of what a Profile is. This workbook is a starter profile in that sense.</t>
  </si>
  <si>
    <t xml:space="preserve">Generative AI Profile (NIST AI 600-1), July 2024</t>
  </si>
  <si>
    <t xml:space="preserve">https://doi.org/10.6028/NIST.AI.600-1</t>
  </si>
  <si>
    <t xml:space="preserve">Applies the four functions to generative AI risks. Read this if staff are using language models.</t>
  </si>
  <si>
    <t xml:space="preserve">Crosswalk documents</t>
  </si>
  <si>
    <t xml:space="preserve">https://airc.nist.gov/airmf-resources/crosswalks/</t>
  </si>
  <si>
    <t xml:space="preserve">NIST's formal mappings to other frameworks. The right source for a control level crosswalk.</t>
  </si>
  <si>
    <t xml:space="preserve">Trustworthy and Responsible AI Resource Center</t>
  </si>
  <si>
    <t xml:space="preserve">https://airc.nist.gov/</t>
  </si>
  <si>
    <t xml:space="preserve">The hub for everything above, including the glossary and technical reports.</t>
  </si>
  <si>
    <t xml:space="preserve">Concept note, AI RMF Profile on Trustworthy AI in Critical Infrastructure, April 2026</t>
  </si>
  <si>
    <t xml:space="preserve">https://www.nist.gov/programs-projects/concept-note-ai-rmf-profile-trustworthy-ai-critical-infrastructure</t>
  </si>
  <si>
    <t xml:space="preserve">Relevant if you operate in energy, water, healthcare, transport or financial infrastructure.</t>
  </si>
  <si>
    <t xml:space="preserve">AI RMF Roadmap</t>
  </si>
  <si>
    <t xml:space="preserve">https://airc.nist.gov/airmf-resources/roadmap/</t>
  </si>
  <si>
    <t xml:space="preserve">What NIST intends to develop next. Useful for seeing where the framework is heading.</t>
  </si>
  <si>
    <t xml:space="preserve">A note on the revision</t>
  </si>
  <si>
    <t xml:space="preserve">NIST states that AI RMF 1.0 is being revised following the White House AI Action Plan of 23 July 2025, which tasked NIST with removing references to misinformation, diversity, equity and inclusion, and climate change. No revised version had been published when this workbook was built.</t>
  </si>
  <si>
    <t xml:space="preserve">The four functions are the stable part and are what this workbook is built on. Check the programme page above before quoting any wording from the framework.</t>
  </si>
  <si>
    <t xml:space="preserve">Built by DS Consulting. consult-ds.com</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</si>
</sst>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0"/>
      <color rgb="FF524BD0"/>
      <name val="Arial"/>
      <family val="0"/>
      <charset val="1"/>
    </font>
    <font>
      <b val="true"/>
      <sz val="16"/>
      <color rgb="FF1E1B4B"/>
      <name val="Arial"/>
      <family val="0"/>
      <charset val="1"/>
    </font>
    <font>
      <sz val="10"/>
      <color rgb="FF475569"/>
      <name val="Arial"/>
      <family val="0"/>
      <charset val="1"/>
    </font>
    <font>
      <b val="true"/>
      <sz val="12"/>
      <color rgb="FF0F172A"/>
      <name val="Arial"/>
      <family val="0"/>
      <charset val="1"/>
    </font>
    <font>
      <sz val="10"/>
      <color rgb="FF0F172A"/>
      <name val="Arial"/>
      <family val="0"/>
      <charset val="1"/>
    </font>
    <font>
      <b val="true"/>
      <sz val="9"/>
      <color rgb="FF524BD0"/>
      <name val="Arial"/>
      <family val="0"/>
      <charset val="1"/>
    </font>
    <font>
      <b val="true"/>
      <sz val="14"/>
      <color rgb="FF1E1B4B"/>
      <name val="Arial"/>
      <family val="0"/>
      <charset val="1"/>
    </font>
    <font>
      <sz val="9"/>
      <color rgb="FF475569"/>
      <name val="Arial"/>
      <family val="0"/>
      <charset val="1"/>
    </font>
    <font>
      <b val="true"/>
      <sz val="10"/>
      <color rgb="FFFFFFFF"/>
      <name val="Arial"/>
      <family val="0"/>
      <charset val="1"/>
    </font>
    <font>
      <b val="true"/>
      <sz val="10"/>
      <color rgb="FF0F172A"/>
      <name val="Arial"/>
      <family val="0"/>
      <charset val="1"/>
    </font>
    <font>
      <u val="single"/>
      <sz val="9"/>
      <color rgb="FF524BD0"/>
      <name val="Arial"/>
      <family val="0"/>
      <charset val="1"/>
    </font>
  </fonts>
  <fills count="6">
    <fill>
      <patternFill patternType="none"/>
    </fill>
    <fill>
      <patternFill patternType="gray125"/>
    </fill>
    <fill>
      <patternFill patternType="solid">
        <fgColor rgb="FF1E1B4B"/>
        <bgColor rgb="FF0F172A"/>
      </patternFill>
    </fill>
    <fill>
      <patternFill patternType="solid">
        <fgColor rgb="FFFFFDE7"/>
        <bgColor rgb="FFFFFFFF"/>
      </patternFill>
    </fill>
    <fill>
      <patternFill patternType="solid">
        <fgColor rgb="FFEEF2FF"/>
        <bgColor rgb="FFF1F5F9"/>
      </patternFill>
    </fill>
    <fill>
      <patternFill patternType="solid">
        <fgColor rgb="FFF1F5F9"/>
        <bgColor rgb="FFEEF2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5" fontId="8" fillId="4" borderId="1"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DE7"/>
      <rgbColor rgb="FFEEF2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F5F9"/>
      <rgbColor rgb="FFE2E8F0"/>
      <rgbColor rgb="FFFFFF99"/>
      <rgbColor rgb="FF99CCFF"/>
      <rgbColor rgb="FFFF99CC"/>
      <rgbColor rgb="FFCC99FF"/>
      <rgbColor rgb="FFFFCC99"/>
      <rgbColor rgb="FF3366FF"/>
      <rgbColor rgb="FF33CCCC"/>
      <rgbColor rgb="FF99CC00"/>
      <rgbColor rgb="FFFFCC00"/>
      <rgbColor rgb="FFFF9900"/>
      <rgbColor rgb="FFFF6600"/>
      <rgbColor rgb="FF475569"/>
      <rgbColor rgb="FF969696"/>
      <rgbColor rgb="FF003366"/>
      <rgbColor rgb="FF339966"/>
      <rgbColor rgb="FF0F172A"/>
      <rgbColor rgb="FF333300"/>
      <rgbColor rgb="FF993300"/>
      <rgbColor rgb="FF993366"/>
      <rgbColor rgb="FF524BD0"/>
      <rgbColor rgb="FF1E1B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hyperlink" Target="https://nvlpubs.nist.gov/nistpubs/ai/NIST.AI.100-1.pdf" TargetMode="External"/><Relationship Id="rId2" Type="http://schemas.openxmlformats.org/officeDocument/2006/relationships/hyperlink" Target="https://www.nist.gov/itl/ai-risk-management-framework" TargetMode="External"/><Relationship Id="rId3" Type="http://schemas.openxmlformats.org/officeDocument/2006/relationships/hyperlink" Target="https://airc.nist.gov/airmf-resources/playbook/" TargetMode="External"/><Relationship Id="rId4" Type="http://schemas.openxmlformats.org/officeDocument/2006/relationships/hyperlink" Target="https://airc.nist.gov/airmf-resources/airmf/5-sec-core/" TargetMode="External"/><Relationship Id="rId5" Type="http://schemas.openxmlformats.org/officeDocument/2006/relationships/hyperlink" Target="https://airc.nist.gov/airmf-resources/airmf/6-sec-profile/" TargetMode="External"/><Relationship Id="rId6" Type="http://schemas.openxmlformats.org/officeDocument/2006/relationships/hyperlink" Target="https://doi.org/10.6028/NIST.AI.600-1" TargetMode="External"/><Relationship Id="rId7" Type="http://schemas.openxmlformats.org/officeDocument/2006/relationships/hyperlink" Target="https://airc.nist.gov/airmf-resources/crosswalks/" TargetMode="External"/><Relationship Id="rId8" Type="http://schemas.openxmlformats.org/officeDocument/2006/relationships/hyperlink" Target="https://airc.nist.gov/" TargetMode="External"/><Relationship Id="rId9" Type="http://schemas.openxmlformats.org/officeDocument/2006/relationships/hyperlink" Target="https://www.nist.gov/programs-projects/concept-note-ai-rmf-profile-trustworthy-ai-critical-infrastructure" TargetMode="External"/><Relationship Id="rId10" Type="http://schemas.openxmlformats.org/officeDocument/2006/relationships/hyperlink" Target="https://airc.nist.gov/airmf-resources/roadma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50"/>
  </cols>
  <sheetData>
    <row r="3" customFormat="false" ht="15" hidden="false" customHeight="false" outlineLevel="0" collapsed="false">
      <c r="B3" s="1" t="s">
        <v>0</v>
      </c>
    </row>
    <row r="5" customFormat="false" ht="19.7" hidden="false" customHeight="false" outlineLevel="0" collapsed="false">
      <c r="B5" s="2" t="s">
        <v>1</v>
      </c>
    </row>
    <row r="6" customFormat="false" ht="15" hidden="false" customHeight="false" outlineLevel="0" collapsed="false">
      <c r="B6" s="3" t="s">
        <v>2</v>
      </c>
    </row>
    <row r="8" customFormat="false" ht="15" hidden="false" customHeight="false" outlineLevel="0" collapsed="false">
      <c r="B8" s="4" t="s">
        <v>3</v>
      </c>
    </row>
    <row r="9" customFormat="false" ht="15" hidden="false" customHeight="false" outlineLevel="0" collapsed="false">
      <c r="B9" s="5" t="s">
        <v>4</v>
      </c>
    </row>
    <row r="10" customFormat="false" ht="15" hidden="false" customHeight="false" outlineLevel="0" collapsed="false">
      <c r="B10" s="5" t="s">
        <v>5</v>
      </c>
    </row>
    <row r="12" customFormat="false" ht="15" hidden="false" customHeight="false" outlineLevel="0" collapsed="false">
      <c r="B12" s="4" t="s">
        <v>6</v>
      </c>
    </row>
    <row r="13" customFormat="false" ht="15" hidden="false" customHeight="false" outlineLevel="0" collapsed="false">
      <c r="B13" s="5" t="s">
        <v>7</v>
      </c>
    </row>
    <row r="14" customFormat="false" ht="15" hidden="false" customHeight="false" outlineLevel="0" collapsed="false">
      <c r="B14" s="5" t="s">
        <v>8</v>
      </c>
    </row>
    <row r="15" customFormat="false" ht="15" hidden="false" customHeight="false" outlineLevel="0" collapsed="false">
      <c r="B15" s="5" t="s">
        <v>9</v>
      </c>
    </row>
    <row r="16" customFormat="false" ht="15" hidden="false" customHeight="false" outlineLevel="0" collapsed="false">
      <c r="B16" s="5" t="s">
        <v>10</v>
      </c>
    </row>
    <row r="17" customFormat="false" ht="15" hidden="false" customHeight="false" outlineLevel="0" collapsed="false">
      <c r="B17" s="5" t="s">
        <v>11</v>
      </c>
    </row>
    <row r="19" customFormat="false" ht="15" hidden="false" customHeight="false" outlineLevel="0" collapsed="false">
      <c r="B19" s="4" t="s">
        <v>12</v>
      </c>
    </row>
    <row r="20" customFormat="false" ht="15" hidden="false" customHeight="false" outlineLevel="0" collapsed="false">
      <c r="B20" s="5" t="s">
        <v>13</v>
      </c>
    </row>
    <row r="21" customFormat="false" ht="15" hidden="false" customHeight="false" outlineLevel="0" collapsed="false">
      <c r="B21" s="5" t="s">
        <v>14</v>
      </c>
    </row>
    <row r="22" customFormat="false" ht="15" hidden="false" customHeight="false" outlineLevel="0" collapsed="false">
      <c r="B22" s="5" t="s">
        <v>15</v>
      </c>
    </row>
    <row r="24" customFormat="false" ht="15" hidden="false" customHeight="false" outlineLevel="0" collapsed="false">
      <c r="B24" s="4" t="s">
        <v>16</v>
      </c>
    </row>
    <row r="25" customFormat="false" ht="15" hidden="false" customHeight="false" outlineLevel="0" collapsed="false">
      <c r="B25" s="5" t="s">
        <v>17</v>
      </c>
    </row>
    <row r="26" customFormat="false" ht="15" hidden="false" customHeight="false" outlineLevel="0" collapsed="false">
      <c r="B26" s="5" t="s">
        <v>18</v>
      </c>
    </row>
    <row r="28" customFormat="false" ht="15" hidden="false" customHeight="false" outlineLevel="0" collapsed="false">
      <c r="B28" s="4" t="s">
        <v>19</v>
      </c>
    </row>
    <row r="29" customFormat="false" ht="15" hidden="false" customHeight="false" outlineLevel="0" collapsed="false">
      <c r="B29" s="5" t="s">
        <v>20</v>
      </c>
    </row>
    <row r="30" customFormat="false" ht="15" hidden="false" customHeight="false" outlineLevel="0" collapsed="false">
      <c r="B30" s="5" t="s">
        <v>21</v>
      </c>
    </row>
    <row r="31" customFormat="false" ht="15" hidden="false" customHeight="false" outlineLevel="0" collapsed="false">
      <c r="B31" s="5" t="s">
        <v>22</v>
      </c>
    </row>
    <row r="33" customFormat="false" ht="15" hidden="false" customHeight="false" outlineLevel="0" collapsed="false">
      <c r="B33" s="4" t="s">
        <v>23</v>
      </c>
    </row>
    <row r="34" customFormat="false" ht="15" hidden="false" customHeight="false" outlineLevel="0" collapsed="false">
      <c r="B34" s="5" t="s">
        <v>24</v>
      </c>
    </row>
    <row r="35" customFormat="false" ht="15" hidden="false" customHeight="false" outlineLevel="0" collapsed="false">
      <c r="B35" s="5" t="s">
        <v>25</v>
      </c>
    </row>
    <row r="37" customFormat="false" ht="15" hidden="false" customHeight="false" outlineLevel="0" collapsed="false">
      <c r="B37" s="4" t="s">
        <v>26</v>
      </c>
    </row>
    <row r="38" customFormat="false" ht="15" hidden="false" customHeight="false" outlineLevel="0" collapsed="false">
      <c r="B38" s="5"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4" min="3" style="0" width="62"/>
    <col collapsed="false" customWidth="true" hidden="false" outlineLevel="0" max="5" min="5" style="0" width="11"/>
    <col collapsed="false" customWidth="true" hidden="false" outlineLevel="0" max="7" min="6" style="0" width="22"/>
    <col collapsed="false" customWidth="true" hidden="false" outlineLevel="0" max="8" min="8" style="0" width="30"/>
    <col collapsed="false" customWidth="true" hidden="false" outlineLevel="0" max="9" min="9" style="0" width="34"/>
  </cols>
  <sheetData>
    <row r="2" customFormat="false" ht="15" hidden="false" customHeight="false" outlineLevel="0" collapsed="false">
      <c r="A2" s="6" t="s">
        <v>0</v>
      </c>
    </row>
    <row r="3" customFormat="false" ht="17.35" hidden="false" customHeight="false" outlineLevel="0" collapsed="false">
      <c r="A3" s="7" t="s">
        <v>1</v>
      </c>
    </row>
    <row r="4" customFormat="false" ht="15" hidden="false" customHeight="false" outlineLevel="0" collapsed="false">
      <c r="A4" s="8" t="s">
        <v>28</v>
      </c>
    </row>
    <row r="5" customFormat="false" ht="15" hidden="false" customHeight="false" outlineLevel="0" collapsed="false">
      <c r="A5" s="8" t="s">
        <v>29</v>
      </c>
    </row>
    <row r="7" customFormat="false" ht="31.5" hidden="false" customHeight="true" outlineLevel="0" collapsed="false">
      <c r="A7" s="9" t="s">
        <v>30</v>
      </c>
      <c r="B7" s="9" t="s">
        <v>31</v>
      </c>
      <c r="C7" s="9" t="s">
        <v>32</v>
      </c>
      <c r="D7" s="9" t="s">
        <v>33</v>
      </c>
      <c r="E7" s="9" t="s">
        <v>34</v>
      </c>
      <c r="F7" s="9" t="s">
        <v>35</v>
      </c>
      <c r="G7" s="9" t="s">
        <v>36</v>
      </c>
      <c r="H7" s="9" t="s">
        <v>37</v>
      </c>
      <c r="I7" s="9" t="s">
        <v>38</v>
      </c>
    </row>
    <row r="8" customFormat="false" ht="30" hidden="false" customHeight="true" outlineLevel="0" collapsed="false">
      <c r="A8" s="10" t="s">
        <v>39</v>
      </c>
      <c r="B8" s="10" t="s">
        <v>40</v>
      </c>
      <c r="C8" s="10" t="s">
        <v>41</v>
      </c>
      <c r="D8" s="10" t="s">
        <v>42</v>
      </c>
      <c r="E8" s="11" t="n">
        <v>1</v>
      </c>
      <c r="F8" s="12" t="str">
        <f aca="false">IF($E8="","",IFERROR(INDEX('Rating scale'!$C$6:$C$9,MATCH($E8,'Rating scale'!$B$6:$B$9,0)),"Use 0 to 3"))</f>
        <v>Ad hoc</v>
      </c>
      <c r="G8" s="11" t="s">
        <v>43</v>
      </c>
      <c r="H8" s="11" t="s">
        <v>44</v>
      </c>
      <c r="I8" s="11" t="s">
        <v>45</v>
      </c>
    </row>
    <row r="9" customFormat="false" ht="30" hidden="false" customHeight="true" outlineLevel="0" collapsed="false">
      <c r="A9" s="10" t="s">
        <v>46</v>
      </c>
      <c r="B9" s="10" t="s">
        <v>40</v>
      </c>
      <c r="C9" s="10" t="s">
        <v>47</v>
      </c>
      <c r="D9" s="10" t="s">
        <v>48</v>
      </c>
      <c r="E9" s="11"/>
      <c r="F9" s="12" t="str">
        <f aca="false">IF($E9="","",IFERROR(INDEX('Rating scale'!$C$6:$C$9,MATCH($E9,'Rating scale'!$B$6:$B$9,0)),"Use 0 to 3"))</f>
        <v/>
      </c>
      <c r="G9" s="11"/>
      <c r="H9" s="11"/>
      <c r="I9" s="11"/>
    </row>
    <row r="10" customFormat="false" ht="30" hidden="false" customHeight="true" outlineLevel="0" collapsed="false">
      <c r="A10" s="10" t="s">
        <v>49</v>
      </c>
      <c r="B10" s="10" t="s">
        <v>40</v>
      </c>
      <c r="C10" s="10" t="s">
        <v>50</v>
      </c>
      <c r="D10" s="10" t="s">
        <v>51</v>
      </c>
      <c r="E10" s="11"/>
      <c r="F10" s="12" t="str">
        <f aca="false">IF($E10="","",IFERROR(INDEX('Rating scale'!$C$6:$C$9,MATCH($E10,'Rating scale'!$B$6:$B$9,0)),"Use 0 to 3"))</f>
        <v/>
      </c>
      <c r="G10" s="11"/>
      <c r="H10" s="11"/>
      <c r="I10" s="11"/>
    </row>
    <row r="11" customFormat="false" ht="30" hidden="false" customHeight="true" outlineLevel="0" collapsed="false">
      <c r="A11" s="10" t="s">
        <v>52</v>
      </c>
      <c r="B11" s="10" t="s">
        <v>40</v>
      </c>
      <c r="C11" s="10" t="s">
        <v>53</v>
      </c>
      <c r="D11" s="10" t="s">
        <v>54</v>
      </c>
      <c r="E11" s="11"/>
      <c r="F11" s="12" t="str">
        <f aca="false">IF($E11="","",IFERROR(INDEX('Rating scale'!$C$6:$C$9,MATCH($E11,'Rating scale'!$B$6:$B$9,0)),"Use 0 to 3"))</f>
        <v/>
      </c>
      <c r="G11" s="11"/>
      <c r="H11" s="11"/>
      <c r="I11" s="11"/>
    </row>
    <row r="12" customFormat="false" ht="30" hidden="false" customHeight="true" outlineLevel="0" collapsed="false">
      <c r="A12" s="10" t="s">
        <v>55</v>
      </c>
      <c r="B12" s="10" t="s">
        <v>40</v>
      </c>
      <c r="C12" s="10" t="s">
        <v>56</v>
      </c>
      <c r="D12" s="10" t="s">
        <v>57</v>
      </c>
      <c r="E12" s="11"/>
      <c r="F12" s="12" t="str">
        <f aca="false">IF($E12="","",IFERROR(INDEX('Rating scale'!$C$6:$C$9,MATCH($E12,'Rating scale'!$B$6:$B$9,0)),"Use 0 to 3"))</f>
        <v/>
      </c>
      <c r="G12" s="11"/>
      <c r="H12" s="11"/>
      <c r="I12" s="11"/>
    </row>
    <row r="13" customFormat="false" ht="30" hidden="false" customHeight="true" outlineLevel="0" collapsed="false">
      <c r="A13" s="10" t="s">
        <v>58</v>
      </c>
      <c r="B13" s="10" t="s">
        <v>40</v>
      </c>
      <c r="C13" s="10" t="s">
        <v>59</v>
      </c>
      <c r="D13" s="10" t="s">
        <v>60</v>
      </c>
      <c r="E13" s="11"/>
      <c r="F13" s="12" t="str">
        <f aca="false">IF($E13="","",IFERROR(INDEX('Rating scale'!$C$6:$C$9,MATCH($E13,'Rating scale'!$B$6:$B$9,0)),"Use 0 to 3"))</f>
        <v/>
      </c>
      <c r="G13" s="11"/>
      <c r="H13" s="11"/>
      <c r="I13" s="11"/>
    </row>
    <row r="14" customFormat="false" ht="30" hidden="false" customHeight="true" outlineLevel="0" collapsed="false">
      <c r="A14" s="10" t="s">
        <v>61</v>
      </c>
      <c r="B14" s="10" t="s">
        <v>40</v>
      </c>
      <c r="C14" s="10" t="s">
        <v>62</v>
      </c>
      <c r="D14" s="10" t="s">
        <v>63</v>
      </c>
      <c r="E14" s="11"/>
      <c r="F14" s="12" t="str">
        <f aca="false">IF($E14="","",IFERROR(INDEX('Rating scale'!$C$6:$C$9,MATCH($E14,'Rating scale'!$B$6:$B$9,0)),"Use 0 to 3"))</f>
        <v/>
      </c>
      <c r="G14" s="11"/>
      <c r="H14" s="11"/>
      <c r="I14" s="11"/>
    </row>
    <row r="15" customFormat="false" ht="30" hidden="false" customHeight="true" outlineLevel="0" collapsed="false">
      <c r="A15" s="10" t="s">
        <v>64</v>
      </c>
      <c r="B15" s="10" t="s">
        <v>65</v>
      </c>
      <c r="C15" s="10" t="s">
        <v>66</v>
      </c>
      <c r="D15" s="10" t="s">
        <v>67</v>
      </c>
      <c r="E15" s="11"/>
      <c r="F15" s="12" t="str">
        <f aca="false">IF($E15="","",IFERROR(INDEX('Rating scale'!$C$6:$C$9,MATCH($E15,'Rating scale'!$B$6:$B$9,0)),"Use 0 to 3"))</f>
        <v/>
      </c>
      <c r="G15" s="11"/>
      <c r="H15" s="11"/>
      <c r="I15" s="11"/>
    </row>
    <row r="16" customFormat="false" ht="30" hidden="false" customHeight="true" outlineLevel="0" collapsed="false">
      <c r="A16" s="10" t="s">
        <v>68</v>
      </c>
      <c r="B16" s="10" t="s">
        <v>65</v>
      </c>
      <c r="C16" s="10" t="s">
        <v>69</v>
      </c>
      <c r="D16" s="10" t="s">
        <v>70</v>
      </c>
      <c r="E16" s="11"/>
      <c r="F16" s="12" t="str">
        <f aca="false">IF($E16="","",IFERROR(INDEX('Rating scale'!$C$6:$C$9,MATCH($E16,'Rating scale'!$B$6:$B$9,0)),"Use 0 to 3"))</f>
        <v/>
      </c>
      <c r="G16" s="11"/>
      <c r="H16" s="11"/>
      <c r="I16" s="11"/>
    </row>
    <row r="17" customFormat="false" ht="30" hidden="false" customHeight="true" outlineLevel="0" collapsed="false">
      <c r="A17" s="10" t="s">
        <v>71</v>
      </c>
      <c r="B17" s="10" t="s">
        <v>65</v>
      </c>
      <c r="C17" s="10" t="s">
        <v>72</v>
      </c>
      <c r="D17" s="10" t="s">
        <v>73</v>
      </c>
      <c r="E17" s="11"/>
      <c r="F17" s="12" t="str">
        <f aca="false">IF($E17="","",IFERROR(INDEX('Rating scale'!$C$6:$C$9,MATCH($E17,'Rating scale'!$B$6:$B$9,0)),"Use 0 to 3"))</f>
        <v/>
      </c>
      <c r="G17" s="11"/>
      <c r="H17" s="11"/>
      <c r="I17" s="11"/>
    </row>
    <row r="18" customFormat="false" ht="30" hidden="false" customHeight="true" outlineLevel="0" collapsed="false">
      <c r="A18" s="10" t="s">
        <v>74</v>
      </c>
      <c r="B18" s="10" t="s">
        <v>65</v>
      </c>
      <c r="C18" s="10" t="s">
        <v>75</v>
      </c>
      <c r="D18" s="10" t="s">
        <v>76</v>
      </c>
      <c r="E18" s="11"/>
      <c r="F18" s="12" t="str">
        <f aca="false">IF($E18="","",IFERROR(INDEX('Rating scale'!$C$6:$C$9,MATCH($E18,'Rating scale'!$B$6:$B$9,0)),"Use 0 to 3"))</f>
        <v/>
      </c>
      <c r="G18" s="11"/>
      <c r="H18" s="11"/>
      <c r="I18" s="11"/>
    </row>
    <row r="19" customFormat="false" ht="30" hidden="false" customHeight="true" outlineLevel="0" collapsed="false">
      <c r="A19" s="10" t="s">
        <v>77</v>
      </c>
      <c r="B19" s="10" t="s">
        <v>65</v>
      </c>
      <c r="C19" s="10" t="s">
        <v>78</v>
      </c>
      <c r="D19" s="10" t="s">
        <v>79</v>
      </c>
      <c r="E19" s="11"/>
      <c r="F19" s="12" t="str">
        <f aca="false">IF($E19="","",IFERROR(INDEX('Rating scale'!$C$6:$C$9,MATCH($E19,'Rating scale'!$B$6:$B$9,0)),"Use 0 to 3"))</f>
        <v/>
      </c>
      <c r="G19" s="11"/>
      <c r="H19" s="11"/>
      <c r="I19" s="11"/>
    </row>
    <row r="20" customFormat="false" ht="30" hidden="false" customHeight="true" outlineLevel="0" collapsed="false">
      <c r="A20" s="10" t="s">
        <v>80</v>
      </c>
      <c r="B20" s="10" t="s">
        <v>65</v>
      </c>
      <c r="C20" s="10" t="s">
        <v>81</v>
      </c>
      <c r="D20" s="10" t="s">
        <v>82</v>
      </c>
      <c r="E20" s="11"/>
      <c r="F20" s="12" t="str">
        <f aca="false">IF($E20="","",IFERROR(INDEX('Rating scale'!$C$6:$C$9,MATCH($E20,'Rating scale'!$B$6:$B$9,0)),"Use 0 to 3"))</f>
        <v/>
      </c>
      <c r="G20" s="11"/>
      <c r="H20" s="11"/>
      <c r="I20" s="11"/>
    </row>
    <row r="21" customFormat="false" ht="30" hidden="false" customHeight="true" outlineLevel="0" collapsed="false">
      <c r="A21" s="10" t="s">
        <v>83</v>
      </c>
      <c r="B21" s="10" t="s">
        <v>65</v>
      </c>
      <c r="C21" s="10" t="s">
        <v>84</v>
      </c>
      <c r="D21" s="10" t="s">
        <v>85</v>
      </c>
      <c r="E21" s="11"/>
      <c r="F21" s="12" t="str">
        <f aca="false">IF($E21="","",IFERROR(INDEX('Rating scale'!$C$6:$C$9,MATCH($E21,'Rating scale'!$B$6:$B$9,0)),"Use 0 to 3"))</f>
        <v/>
      </c>
      <c r="G21" s="11"/>
      <c r="H21" s="11"/>
      <c r="I21" s="11"/>
    </row>
    <row r="22" customFormat="false" ht="30" hidden="false" customHeight="true" outlineLevel="0" collapsed="false">
      <c r="A22" s="10" t="s">
        <v>86</v>
      </c>
      <c r="B22" s="10" t="s">
        <v>87</v>
      </c>
      <c r="C22" s="10" t="s">
        <v>88</v>
      </c>
      <c r="D22" s="10" t="s">
        <v>89</v>
      </c>
      <c r="E22" s="11"/>
      <c r="F22" s="12" t="str">
        <f aca="false">IF($E22="","",IFERROR(INDEX('Rating scale'!$C$6:$C$9,MATCH($E22,'Rating scale'!$B$6:$B$9,0)),"Use 0 to 3"))</f>
        <v/>
      </c>
      <c r="G22" s="11"/>
      <c r="H22" s="11"/>
      <c r="I22" s="11"/>
    </row>
    <row r="23" customFormat="false" ht="30" hidden="false" customHeight="true" outlineLevel="0" collapsed="false">
      <c r="A23" s="10" t="s">
        <v>90</v>
      </c>
      <c r="B23" s="10" t="s">
        <v>87</v>
      </c>
      <c r="C23" s="10" t="s">
        <v>91</v>
      </c>
      <c r="D23" s="10" t="s">
        <v>92</v>
      </c>
      <c r="E23" s="11"/>
      <c r="F23" s="12" t="str">
        <f aca="false">IF($E23="","",IFERROR(INDEX('Rating scale'!$C$6:$C$9,MATCH($E23,'Rating scale'!$B$6:$B$9,0)),"Use 0 to 3"))</f>
        <v/>
      </c>
      <c r="G23" s="11"/>
      <c r="H23" s="11"/>
      <c r="I23" s="11"/>
    </row>
    <row r="24" customFormat="false" ht="30" hidden="false" customHeight="true" outlineLevel="0" collapsed="false">
      <c r="A24" s="10" t="s">
        <v>93</v>
      </c>
      <c r="B24" s="10" t="s">
        <v>87</v>
      </c>
      <c r="C24" s="10" t="s">
        <v>94</v>
      </c>
      <c r="D24" s="10" t="s">
        <v>95</v>
      </c>
      <c r="E24" s="11"/>
      <c r="F24" s="12" t="str">
        <f aca="false">IF($E24="","",IFERROR(INDEX('Rating scale'!$C$6:$C$9,MATCH($E24,'Rating scale'!$B$6:$B$9,0)),"Use 0 to 3"))</f>
        <v/>
      </c>
      <c r="G24" s="11"/>
      <c r="H24" s="11"/>
      <c r="I24" s="11"/>
    </row>
    <row r="25" customFormat="false" ht="30" hidden="false" customHeight="true" outlineLevel="0" collapsed="false">
      <c r="A25" s="10" t="s">
        <v>96</v>
      </c>
      <c r="B25" s="10" t="s">
        <v>87</v>
      </c>
      <c r="C25" s="10" t="s">
        <v>97</v>
      </c>
      <c r="D25" s="10" t="s">
        <v>98</v>
      </c>
      <c r="E25" s="11"/>
      <c r="F25" s="12" t="str">
        <f aca="false">IF($E25="","",IFERROR(INDEX('Rating scale'!$C$6:$C$9,MATCH($E25,'Rating scale'!$B$6:$B$9,0)),"Use 0 to 3"))</f>
        <v/>
      </c>
      <c r="G25" s="11"/>
      <c r="H25" s="11"/>
      <c r="I25" s="11"/>
    </row>
    <row r="26" customFormat="false" ht="30" hidden="false" customHeight="true" outlineLevel="0" collapsed="false">
      <c r="A26" s="10" t="s">
        <v>99</v>
      </c>
      <c r="B26" s="10" t="s">
        <v>87</v>
      </c>
      <c r="C26" s="10" t="s">
        <v>100</v>
      </c>
      <c r="D26" s="10" t="s">
        <v>101</v>
      </c>
      <c r="E26" s="11"/>
      <c r="F26" s="12" t="str">
        <f aca="false">IF($E26="","",IFERROR(INDEX('Rating scale'!$C$6:$C$9,MATCH($E26,'Rating scale'!$B$6:$B$9,0)),"Use 0 to 3"))</f>
        <v/>
      </c>
      <c r="G26" s="11"/>
      <c r="H26" s="11"/>
      <c r="I26" s="11"/>
    </row>
    <row r="27" customFormat="false" ht="30" hidden="false" customHeight="true" outlineLevel="0" collapsed="false">
      <c r="A27" s="10" t="s">
        <v>102</v>
      </c>
      <c r="B27" s="10" t="s">
        <v>87</v>
      </c>
      <c r="C27" s="10" t="s">
        <v>103</v>
      </c>
      <c r="D27" s="10" t="s">
        <v>104</v>
      </c>
      <c r="E27" s="11"/>
      <c r="F27" s="12" t="str">
        <f aca="false">IF($E27="","",IFERROR(INDEX('Rating scale'!$C$6:$C$9,MATCH($E27,'Rating scale'!$B$6:$B$9,0)),"Use 0 to 3"))</f>
        <v/>
      </c>
      <c r="G27" s="11"/>
      <c r="H27" s="11"/>
      <c r="I27" s="11"/>
    </row>
    <row r="28" customFormat="false" ht="30" hidden="false" customHeight="true" outlineLevel="0" collapsed="false">
      <c r="A28" s="10" t="s">
        <v>105</v>
      </c>
      <c r="B28" s="10" t="s">
        <v>106</v>
      </c>
      <c r="C28" s="10" t="s">
        <v>107</v>
      </c>
      <c r="D28" s="10" t="s">
        <v>108</v>
      </c>
      <c r="E28" s="11"/>
      <c r="F28" s="12" t="str">
        <f aca="false">IF($E28="","",IFERROR(INDEX('Rating scale'!$C$6:$C$9,MATCH($E28,'Rating scale'!$B$6:$B$9,0)),"Use 0 to 3"))</f>
        <v/>
      </c>
      <c r="G28" s="11"/>
      <c r="H28" s="11"/>
      <c r="I28" s="11"/>
    </row>
    <row r="29" customFormat="false" ht="30" hidden="false" customHeight="true" outlineLevel="0" collapsed="false">
      <c r="A29" s="10" t="s">
        <v>109</v>
      </c>
      <c r="B29" s="10" t="s">
        <v>106</v>
      </c>
      <c r="C29" s="10" t="s">
        <v>110</v>
      </c>
      <c r="D29" s="10" t="s">
        <v>111</v>
      </c>
      <c r="E29" s="11"/>
      <c r="F29" s="12" t="str">
        <f aca="false">IF($E29="","",IFERROR(INDEX('Rating scale'!$C$6:$C$9,MATCH($E29,'Rating scale'!$B$6:$B$9,0)),"Use 0 to 3"))</f>
        <v/>
      </c>
      <c r="G29" s="11"/>
      <c r="H29" s="11"/>
      <c r="I29" s="11"/>
    </row>
    <row r="30" customFormat="false" ht="30" hidden="false" customHeight="true" outlineLevel="0" collapsed="false">
      <c r="A30" s="10" t="s">
        <v>112</v>
      </c>
      <c r="B30" s="10" t="s">
        <v>106</v>
      </c>
      <c r="C30" s="10" t="s">
        <v>113</v>
      </c>
      <c r="D30" s="10" t="s">
        <v>114</v>
      </c>
      <c r="E30" s="11"/>
      <c r="F30" s="12" t="str">
        <f aca="false">IF($E30="","",IFERROR(INDEX('Rating scale'!$C$6:$C$9,MATCH($E30,'Rating scale'!$B$6:$B$9,0)),"Use 0 to 3"))</f>
        <v/>
      </c>
      <c r="G30" s="11"/>
      <c r="H30" s="11"/>
      <c r="I30" s="11"/>
    </row>
    <row r="31" customFormat="false" ht="30" hidden="false" customHeight="true" outlineLevel="0" collapsed="false">
      <c r="A31" s="10" t="s">
        <v>115</v>
      </c>
      <c r="B31" s="10" t="s">
        <v>106</v>
      </c>
      <c r="C31" s="10" t="s">
        <v>116</v>
      </c>
      <c r="D31" s="10" t="s">
        <v>117</v>
      </c>
      <c r="E31" s="11"/>
      <c r="F31" s="12" t="str">
        <f aca="false">IF($E31="","",IFERROR(INDEX('Rating scale'!$C$6:$C$9,MATCH($E31,'Rating scale'!$B$6:$B$9,0)),"Use 0 to 3"))</f>
        <v/>
      </c>
      <c r="G31" s="11"/>
      <c r="H31" s="11"/>
      <c r="I31" s="11"/>
    </row>
    <row r="32" customFormat="false" ht="30" hidden="false" customHeight="true" outlineLevel="0" collapsed="false">
      <c r="A32" s="10" t="s">
        <v>118</v>
      </c>
      <c r="B32" s="10" t="s">
        <v>106</v>
      </c>
      <c r="C32" s="10" t="s">
        <v>119</v>
      </c>
      <c r="D32" s="10" t="s">
        <v>120</v>
      </c>
      <c r="E32" s="11"/>
      <c r="F32" s="12" t="str">
        <f aca="false">IF($E32="","",IFERROR(INDEX('Rating scale'!$C$6:$C$9,MATCH($E32,'Rating scale'!$B$6:$B$9,0)),"Use 0 to 3"))</f>
        <v/>
      </c>
      <c r="G32" s="11"/>
      <c r="H32" s="11"/>
      <c r="I32" s="11"/>
    </row>
    <row r="33" customFormat="false" ht="30" hidden="false" customHeight="true" outlineLevel="0" collapsed="false">
      <c r="A33" s="10" t="s">
        <v>121</v>
      </c>
      <c r="B33" s="10" t="s">
        <v>106</v>
      </c>
      <c r="C33" s="10" t="s">
        <v>122</v>
      </c>
      <c r="D33" s="10" t="s">
        <v>123</v>
      </c>
      <c r="E33" s="11"/>
      <c r="F33" s="12" t="str">
        <f aca="false">IF($E33="","",IFERROR(INDEX('Rating scale'!$C$6:$C$9,MATCH($E33,'Rating scale'!$B$6:$B$9,0)),"Use 0 to 3"))</f>
        <v/>
      </c>
      <c r="G33" s="11"/>
      <c r="H33" s="11"/>
      <c r="I33" s="11"/>
    </row>
    <row r="35" customFormat="false" ht="15" hidden="false" customHeight="false" outlineLevel="0" collapsed="false">
      <c r="A35" s="8" t="s">
        <v>124</v>
      </c>
    </row>
  </sheetData>
  <dataValidations count="1">
    <dataValidation allowBlank="true" error="Rate from 0 to 3. See the Rating scale tab." errorStyle="stop" errorTitle="Rating out of range" operator="between" showDropDown="false" showErrorMessage="false" showInputMessage="false" sqref="E8:E33" type="whole">
      <formula1>0</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0"/>
    <col collapsed="false" customWidth="true" hidden="false" outlineLevel="0" max="4" min="4" style="0" width="95"/>
  </cols>
  <sheetData>
    <row r="2" customFormat="false" ht="15" hidden="false" customHeight="false" outlineLevel="0" collapsed="false">
      <c r="B2" s="6" t="s">
        <v>0</v>
      </c>
    </row>
    <row r="3" customFormat="false" ht="17.35" hidden="false" customHeight="false" outlineLevel="0" collapsed="false">
      <c r="B3" s="7" t="s">
        <v>125</v>
      </c>
    </row>
    <row r="4" customFormat="false" ht="15" hidden="false" customHeight="false" outlineLevel="0" collapsed="false">
      <c r="B4" s="8" t="s">
        <v>126</v>
      </c>
    </row>
    <row r="5" customFormat="false" ht="15" hidden="false" customHeight="false" outlineLevel="0" collapsed="false">
      <c r="B5" s="9" t="s">
        <v>127</v>
      </c>
      <c r="C5" s="9" t="s">
        <v>128</v>
      </c>
      <c r="D5" s="9" t="s">
        <v>129</v>
      </c>
    </row>
    <row r="6" customFormat="false" ht="27.75" hidden="false" customHeight="true" outlineLevel="0" collapsed="false">
      <c r="B6" s="13" t="n">
        <v>0</v>
      </c>
      <c r="C6" s="10" t="s">
        <v>130</v>
      </c>
      <c r="D6" s="10" t="s">
        <v>131</v>
      </c>
    </row>
    <row r="7" customFormat="false" ht="27.75" hidden="false" customHeight="true" outlineLevel="0" collapsed="false">
      <c r="B7" s="14" t="n">
        <v>1</v>
      </c>
      <c r="C7" s="15" t="s">
        <v>132</v>
      </c>
      <c r="D7" s="15" t="s">
        <v>133</v>
      </c>
    </row>
    <row r="8" customFormat="false" ht="27.75" hidden="false" customHeight="true" outlineLevel="0" collapsed="false">
      <c r="B8" s="13" t="n">
        <v>2</v>
      </c>
      <c r="C8" s="10" t="s">
        <v>134</v>
      </c>
      <c r="D8" s="10" t="s">
        <v>135</v>
      </c>
    </row>
    <row r="9" customFormat="false" ht="27.75" hidden="false" customHeight="true" outlineLevel="0" collapsed="false">
      <c r="B9" s="14" t="n">
        <v>3</v>
      </c>
      <c r="C9" s="15" t="s">
        <v>136</v>
      </c>
      <c r="D9" s="15" t="s">
        <v>137</v>
      </c>
    </row>
    <row r="11" customFormat="false" ht="15" hidden="false" customHeight="false" outlineLevel="0" collapsed="false">
      <c r="B11" s="16" t="s">
        <v>138</v>
      </c>
    </row>
    <row r="12" customFormat="false" ht="15" hidden="false" customHeight="false" outlineLevel="0" collapsed="false">
      <c r="B12" s="17" t="s">
        <v>139</v>
      </c>
    </row>
    <row r="13" customFormat="false" ht="15" hidden="false" customHeight="false" outlineLevel="0" collapsed="false">
      <c r="B13" s="17" t="s">
        <v>140</v>
      </c>
    </row>
    <row r="14" customFormat="false" ht="15" hidden="false" customHeight="false" outlineLevel="0" collapsed="false">
      <c r="B14" s="17" t="s">
        <v>141</v>
      </c>
    </row>
    <row r="16" customFormat="false" ht="15" hidden="false" customHeight="false" outlineLevel="0" collapsed="false">
      <c r="B16" s="16" t="s">
        <v>142</v>
      </c>
    </row>
    <row r="17" customFormat="false" ht="15" hidden="false" customHeight="false" outlineLevel="0" collapsed="false">
      <c r="B17" s="17"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6" min="3" style="0" width="46"/>
  </cols>
  <sheetData>
    <row r="2" customFormat="false" ht="15" hidden="false" customHeight="false" outlineLevel="0" collapsed="false">
      <c r="B2" s="6" t="s">
        <v>0</v>
      </c>
    </row>
    <row r="3" customFormat="false" ht="17.35" hidden="false" customHeight="false" outlineLevel="0" collapsed="false">
      <c r="B3" s="7" t="s">
        <v>144</v>
      </c>
    </row>
    <row r="4" customFormat="false" ht="15" hidden="false" customHeight="false" outlineLevel="0" collapsed="false">
      <c r="B4" s="8" t="s">
        <v>145</v>
      </c>
    </row>
    <row r="5" customFormat="false" ht="27.75" hidden="false" customHeight="true" outlineLevel="0" collapsed="false">
      <c r="B5" s="9" t="s">
        <v>146</v>
      </c>
      <c r="C5" s="9" t="s">
        <v>147</v>
      </c>
      <c r="D5" s="9" t="s">
        <v>148</v>
      </c>
      <c r="E5" s="9" t="s">
        <v>149</v>
      </c>
      <c r="F5" s="9" t="s">
        <v>150</v>
      </c>
    </row>
    <row r="6" customFormat="false" ht="61.5" hidden="false" customHeight="true" outlineLevel="0" collapsed="false">
      <c r="B6" s="13" t="s">
        <v>40</v>
      </c>
      <c r="C6" s="10" t="s">
        <v>151</v>
      </c>
      <c r="D6" s="10" t="s">
        <v>152</v>
      </c>
      <c r="E6" s="10" t="s">
        <v>153</v>
      </c>
      <c r="F6" s="10" t="s">
        <v>154</v>
      </c>
    </row>
    <row r="7" customFormat="false" ht="61.5" hidden="false" customHeight="true" outlineLevel="0" collapsed="false">
      <c r="B7" s="14" t="s">
        <v>65</v>
      </c>
      <c r="C7" s="15" t="s">
        <v>155</v>
      </c>
      <c r="D7" s="15" t="s">
        <v>156</v>
      </c>
      <c r="E7" s="15" t="s">
        <v>157</v>
      </c>
      <c r="F7" s="15" t="s">
        <v>158</v>
      </c>
    </row>
    <row r="8" customFormat="false" ht="61.5" hidden="false" customHeight="true" outlineLevel="0" collapsed="false">
      <c r="B8" s="13" t="s">
        <v>87</v>
      </c>
      <c r="C8" s="10" t="s">
        <v>159</v>
      </c>
      <c r="D8" s="10" t="s">
        <v>160</v>
      </c>
      <c r="E8" s="10" t="s">
        <v>161</v>
      </c>
      <c r="F8" s="10" t="s">
        <v>162</v>
      </c>
    </row>
    <row r="9" customFormat="false" ht="61.5" hidden="false" customHeight="true" outlineLevel="0" collapsed="false">
      <c r="B9" s="14" t="s">
        <v>106</v>
      </c>
      <c r="C9" s="15" t="s">
        <v>163</v>
      </c>
      <c r="D9" s="15" t="s">
        <v>164</v>
      </c>
      <c r="E9" s="15" t="s">
        <v>165</v>
      </c>
      <c r="F9" s="15" t="s">
        <v>166</v>
      </c>
    </row>
    <row r="12" customFormat="false" ht="15" hidden="false" customHeight="false" outlineLevel="0" collapsed="false">
      <c r="B12" s="16" t="s">
        <v>167</v>
      </c>
    </row>
    <row r="13" customFormat="false" ht="15" hidden="false" customHeight="false" outlineLevel="0" collapsed="false">
      <c r="B13" s="17" t="s">
        <v>168</v>
      </c>
    </row>
    <row r="14" customFormat="false" ht="15" hidden="false" customHeight="false" outlineLevel="0" collapsed="false">
      <c r="B14" s="17" t="s">
        <v>169</v>
      </c>
    </row>
    <row r="16" customFormat="false" ht="15" hidden="false" customHeight="false" outlineLevel="0" collapsed="false">
      <c r="B16" s="16" t="s">
        <v>170</v>
      </c>
    </row>
    <row r="17" customFormat="false" ht="15" hidden="false" customHeight="false" outlineLevel="0" collapsed="false">
      <c r="B17" s="17" t="s">
        <v>171</v>
      </c>
    </row>
    <row r="18" customFormat="false" ht="15" hidden="false" customHeight="false" outlineLevel="0" collapsed="false">
      <c r="B18" s="17"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4" min="3" style="0" width="16"/>
    <col collapsed="false" customWidth="true" hidden="false" outlineLevel="0" max="5" min="5" style="0" width="60"/>
  </cols>
  <sheetData>
    <row r="2" customFormat="false" ht="15" hidden="false" customHeight="false" outlineLevel="0" collapsed="false">
      <c r="B2" s="6" t="s">
        <v>0</v>
      </c>
    </row>
    <row r="3" customFormat="false" ht="17.35" hidden="false" customHeight="false" outlineLevel="0" collapsed="false">
      <c r="B3" s="7" t="s">
        <v>173</v>
      </c>
    </row>
    <row r="4" customFormat="false" ht="15" hidden="false" customHeight="false" outlineLevel="0" collapsed="false">
      <c r="B4" s="8" t="s">
        <v>174</v>
      </c>
    </row>
    <row r="5" customFormat="false" ht="15" hidden="false" customHeight="false" outlineLevel="0" collapsed="false">
      <c r="B5" s="9" t="s">
        <v>31</v>
      </c>
      <c r="C5" s="9" t="s">
        <v>175</v>
      </c>
      <c r="D5" s="9" t="s">
        <v>176</v>
      </c>
      <c r="E5" s="9" t="s">
        <v>177</v>
      </c>
    </row>
    <row r="6" customFormat="false" ht="15" hidden="false" customHeight="false" outlineLevel="0" collapsed="false">
      <c r="B6" s="18" t="s">
        <v>40</v>
      </c>
      <c r="C6" s="19" t="n">
        <f aca="false">COUNTIFS('Profile assessment'!$B$8:$B$33,$B6,'Profile assessment'!$E$8:$E$33,"&gt;=0")</f>
        <v>1</v>
      </c>
      <c r="D6" s="19" t="n">
        <f aca="false">IFERROR(ROUND(SUMIFS('Profile assessment'!$E$8:$E$33,'Profile assessment'!$B$8:$B$33,$B6)/COUNTIFS('Profile assessment'!$B$8:$B$33,$B6,'Profile assessment'!$E$8:$E$33,"&gt;=0"),1),"")</f>
        <v>1</v>
      </c>
      <c r="E6" s="19" t="n">
        <f aca="false">COUNTIFS('Profile assessment'!$B$8:$B$33,$B6,'Profile assessment'!$E$8:$E$33,"&lt;=1")</f>
        <v>1</v>
      </c>
    </row>
    <row r="7" customFormat="false" ht="15" hidden="false" customHeight="false" outlineLevel="0" collapsed="false">
      <c r="B7" s="18" t="s">
        <v>65</v>
      </c>
      <c r="C7" s="19" t="n">
        <f aca="false">COUNTIFS('Profile assessment'!$B$8:$B$33,$B7,'Profile assessment'!$E$8:$E$33,"&gt;=0")</f>
        <v>0</v>
      </c>
      <c r="D7" s="19" t="str">
        <f aca="false">IFERROR(ROUND(SUMIFS('Profile assessment'!$E$8:$E$33,'Profile assessment'!$B$8:$B$33,$B7)/COUNTIFS('Profile assessment'!$B$8:$B$33,$B7,'Profile assessment'!$E$8:$E$33,"&gt;=0"),1),"")</f>
        <v/>
      </c>
      <c r="E7" s="19" t="n">
        <f aca="false">COUNTIFS('Profile assessment'!$B$8:$B$33,$B7,'Profile assessment'!$E$8:$E$33,"&lt;=1")</f>
        <v>0</v>
      </c>
    </row>
    <row r="8" customFormat="false" ht="15" hidden="false" customHeight="false" outlineLevel="0" collapsed="false">
      <c r="B8" s="18" t="s">
        <v>87</v>
      </c>
      <c r="C8" s="19" t="n">
        <f aca="false">COUNTIFS('Profile assessment'!$B$8:$B$33,$B8,'Profile assessment'!$E$8:$E$33,"&gt;=0")</f>
        <v>0</v>
      </c>
      <c r="D8" s="19" t="str">
        <f aca="false">IFERROR(ROUND(SUMIFS('Profile assessment'!$E$8:$E$33,'Profile assessment'!$B$8:$B$33,$B8)/COUNTIFS('Profile assessment'!$B$8:$B$33,$B8,'Profile assessment'!$E$8:$E$33,"&gt;=0"),1),"")</f>
        <v/>
      </c>
      <c r="E8" s="19" t="n">
        <f aca="false">COUNTIFS('Profile assessment'!$B$8:$B$33,$B8,'Profile assessment'!$E$8:$E$33,"&lt;=1")</f>
        <v>0</v>
      </c>
    </row>
    <row r="9" customFormat="false" ht="15" hidden="false" customHeight="false" outlineLevel="0" collapsed="false">
      <c r="B9" s="18" t="s">
        <v>106</v>
      </c>
      <c r="C9" s="19" t="n">
        <f aca="false">COUNTIFS('Profile assessment'!$B$8:$B$33,$B9,'Profile assessment'!$E$8:$E$33,"&gt;=0")</f>
        <v>0</v>
      </c>
      <c r="D9" s="19" t="str">
        <f aca="false">IFERROR(ROUND(SUMIFS('Profile assessment'!$E$8:$E$33,'Profile assessment'!$B$8:$B$33,$B9)/COUNTIFS('Profile assessment'!$B$8:$B$33,$B9,'Profile assessment'!$E$8:$E$33,"&gt;=0"),1),"")</f>
        <v/>
      </c>
      <c r="E9" s="19" t="n">
        <f aca="false">COUNTIFS('Profile assessment'!$B$8:$B$33,$B9,'Profile assessment'!$E$8:$E$33,"&lt;=1")</f>
        <v>0</v>
      </c>
    </row>
    <row r="10" customFormat="false" ht="15" hidden="false" customHeight="false" outlineLevel="0" collapsed="false">
      <c r="B10" s="20" t="s">
        <v>178</v>
      </c>
      <c r="C10" s="21" t="n">
        <f aca="false">COUNTIF('Profile assessment'!$E$8:$E$33,"&gt;=0")</f>
        <v>1</v>
      </c>
      <c r="E10" s="8" t="s">
        <v>179</v>
      </c>
    </row>
    <row r="12" customFormat="false" ht="15" hidden="false" customHeight="false" outlineLevel="0" collapsed="false">
      <c r="B12" s="16" t="s">
        <v>180</v>
      </c>
    </row>
    <row r="13" customFormat="false" ht="15" hidden="false" customHeight="false" outlineLevel="0" collapsed="false">
      <c r="B13" s="20" t="s">
        <v>181</v>
      </c>
      <c r="C13" s="22" t="str">
        <f aca="false">IFERROR(INDEX($B$6:$B$9,MATCH(MIN($D$6:$D$9),$D$6:$D$9,0)),"Rate some rows first")</f>
        <v>Govern</v>
      </c>
      <c r="E13" s="8" t="s">
        <v>182</v>
      </c>
    </row>
    <row r="15" customFormat="false" ht="15" hidden="false" customHeight="false" outlineLevel="0" collapsed="false">
      <c r="B15" s="16" t="s">
        <v>183</v>
      </c>
    </row>
    <row r="16" customFormat="false" ht="15" hidden="false" customHeight="false" outlineLevel="0" collapsed="false">
      <c r="B16" s="17" t="s">
        <v>184</v>
      </c>
      <c r="C16" s="22" t="n">
        <f aca="false">SUMPRODUCT(('Profile assessment'!$E$8:$E$33&gt;=2)*('Profile assessment'!$G$8:$G$33=""))</f>
        <v>0</v>
      </c>
      <c r="E16" s="8" t="s">
        <v>185</v>
      </c>
    </row>
    <row r="17" customFormat="false" ht="15" hidden="false" customHeight="false" outlineLevel="0" collapsed="false">
      <c r="B17" s="17" t="s">
        <v>186</v>
      </c>
      <c r="C17" s="22" t="n">
        <f aca="false">SUMPRODUCT(('Profile assessment'!$E$8:$E$33&gt;=2)*('Profile assessment'!$H$8:$H$33=""))</f>
        <v>0</v>
      </c>
      <c r="E17" s="8" t="s">
        <v>187</v>
      </c>
    </row>
    <row r="18" customFormat="false" ht="15" hidden="false" customHeight="false" outlineLevel="0" collapsed="false">
      <c r="B18" s="17" t="s">
        <v>188</v>
      </c>
      <c r="C18" s="22" t="n">
        <f aca="false">IF(26-COUNT('Profile assessment'!$E$8:$E$33)&lt;0,0,26-COUNT('Profile assessment'!$E$8:$E$33))</f>
        <v>25</v>
      </c>
      <c r="E18" s="8" t="s">
        <v>189</v>
      </c>
    </row>
    <row r="20" customFormat="false" ht="15" hidden="false" customHeight="false" outlineLevel="0" collapsed="false">
      <c r="B20" s="16" t="s">
        <v>190</v>
      </c>
    </row>
    <row r="21" customFormat="false" ht="15" hidden="false" customHeight="false" outlineLevel="0" collapsed="false">
      <c r="B21" s="17" t="s">
        <v>191</v>
      </c>
    </row>
    <row r="22" customFormat="false" ht="15" hidden="false" customHeight="false" outlineLevel="0" collapsed="false">
      <c r="B22" s="17" t="s">
        <v>192</v>
      </c>
    </row>
    <row r="23" customFormat="false" ht="15" hidden="false" customHeight="false" outlineLevel="0" collapsed="false">
      <c r="B23" s="17"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3" min="3" style="0" width="60"/>
    <col collapsed="false" customWidth="true" hidden="false" outlineLevel="0" max="4" min="4" style="0" width="72"/>
  </cols>
  <sheetData>
    <row r="2" customFormat="false" ht="15" hidden="false" customHeight="false" outlineLevel="0" collapsed="false">
      <c r="B2" s="6" t="s">
        <v>0</v>
      </c>
    </row>
    <row r="3" customFormat="false" ht="17.35" hidden="false" customHeight="false" outlineLevel="0" collapsed="false">
      <c r="B3" s="7" t="s">
        <v>26</v>
      </c>
    </row>
    <row r="4" customFormat="false" ht="15" hidden="false" customHeight="false" outlineLevel="0" collapsed="false">
      <c r="B4" s="8" t="s">
        <v>194</v>
      </c>
    </row>
    <row r="5" customFormat="false" ht="15" hidden="false" customHeight="false" outlineLevel="0" collapsed="false">
      <c r="B5" s="9" t="s">
        <v>195</v>
      </c>
      <c r="C5" s="9" t="s">
        <v>196</v>
      </c>
      <c r="D5" s="9" t="s">
        <v>197</v>
      </c>
    </row>
    <row r="6" customFormat="false" ht="33.75" hidden="false" customHeight="true" outlineLevel="0" collapsed="false">
      <c r="B6" s="13" t="s">
        <v>198</v>
      </c>
      <c r="C6" s="23" t="s">
        <v>199</v>
      </c>
      <c r="D6" s="10" t="s">
        <v>200</v>
      </c>
    </row>
    <row r="7" customFormat="false" ht="33.75" hidden="false" customHeight="true" outlineLevel="0" collapsed="false">
      <c r="B7" s="14" t="s">
        <v>201</v>
      </c>
      <c r="C7" s="24" t="s">
        <v>202</v>
      </c>
      <c r="D7" s="15" t="s">
        <v>203</v>
      </c>
    </row>
    <row r="8" customFormat="false" ht="33.75" hidden="false" customHeight="true" outlineLevel="0" collapsed="false">
      <c r="B8" s="13" t="s">
        <v>204</v>
      </c>
      <c r="C8" s="23" t="s">
        <v>205</v>
      </c>
      <c r="D8" s="10" t="s">
        <v>206</v>
      </c>
    </row>
    <row r="9" customFormat="false" ht="33.75" hidden="false" customHeight="true" outlineLevel="0" collapsed="false">
      <c r="B9" s="14" t="s">
        <v>207</v>
      </c>
      <c r="C9" s="24" t="s">
        <v>208</v>
      </c>
      <c r="D9" s="15" t="s">
        <v>209</v>
      </c>
    </row>
    <row r="10" customFormat="false" ht="33.75" hidden="false" customHeight="true" outlineLevel="0" collapsed="false">
      <c r="B10" s="13" t="s">
        <v>210</v>
      </c>
      <c r="C10" s="23" t="s">
        <v>211</v>
      </c>
      <c r="D10" s="10" t="s">
        <v>212</v>
      </c>
    </row>
    <row r="11" customFormat="false" ht="33.75" hidden="false" customHeight="true" outlineLevel="0" collapsed="false">
      <c r="B11" s="14" t="s">
        <v>213</v>
      </c>
      <c r="C11" s="24" t="s">
        <v>214</v>
      </c>
      <c r="D11" s="15" t="s">
        <v>215</v>
      </c>
    </row>
    <row r="12" customFormat="false" ht="33.75" hidden="false" customHeight="true" outlineLevel="0" collapsed="false">
      <c r="B12" s="13" t="s">
        <v>216</v>
      </c>
      <c r="C12" s="23" t="s">
        <v>217</v>
      </c>
      <c r="D12" s="10" t="s">
        <v>218</v>
      </c>
    </row>
    <row r="13" customFormat="false" ht="33.75" hidden="false" customHeight="true" outlineLevel="0" collapsed="false">
      <c r="B13" s="14" t="s">
        <v>219</v>
      </c>
      <c r="C13" s="24" t="s">
        <v>220</v>
      </c>
      <c r="D13" s="15" t="s">
        <v>221</v>
      </c>
    </row>
    <row r="14" customFormat="false" ht="33.75" hidden="false" customHeight="true" outlineLevel="0" collapsed="false">
      <c r="B14" s="13" t="s">
        <v>222</v>
      </c>
      <c r="C14" s="23" t="s">
        <v>223</v>
      </c>
      <c r="D14" s="10" t="s">
        <v>224</v>
      </c>
    </row>
    <row r="15" customFormat="false" ht="33.75" hidden="false" customHeight="true" outlineLevel="0" collapsed="false">
      <c r="B15" s="14" t="s">
        <v>225</v>
      </c>
      <c r="C15" s="24" t="s">
        <v>226</v>
      </c>
      <c r="D15" s="15" t="s">
        <v>227</v>
      </c>
    </row>
    <row r="18" customFormat="false" ht="15" hidden="false" customHeight="false" outlineLevel="0" collapsed="false">
      <c r="B18" s="16" t="s">
        <v>228</v>
      </c>
    </row>
    <row r="19" customFormat="false" ht="15" hidden="false" customHeight="false" outlineLevel="0" collapsed="false">
      <c r="B19" s="17" t="s">
        <v>229</v>
      </c>
    </row>
    <row r="20" customFormat="false" ht="15" hidden="false" customHeight="false" outlineLevel="0" collapsed="false">
      <c r="B20" s="17" t="s">
        <v>230</v>
      </c>
    </row>
    <row r="22" customFormat="false" ht="15" hidden="false" customHeight="false" outlineLevel="0" collapsed="false">
      <c r="B22" s="8" t="s">
        <v>231</v>
      </c>
    </row>
  </sheetData>
  <hyperlinks>
    <hyperlink ref="C6" r:id="rId1" display="https://nvlpubs.nist.gov/nistpubs/ai/NIST.AI.100-1.pdf"/>
    <hyperlink ref="C7" r:id="rId2" display="https://www.nist.gov/itl/ai-risk-management-framework"/>
    <hyperlink ref="C8" r:id="rId3" display="https://airc.nist.gov/airmf-resources/playbook/"/>
    <hyperlink ref="C9" r:id="rId4" display="https://airc.nist.gov/airmf-resources/airmf/5-sec-core/"/>
    <hyperlink ref="C10" r:id="rId5" display="https://airc.nist.gov/airmf-resources/airmf/6-sec-profile/"/>
    <hyperlink ref="C11" r:id="rId6" display="https://doi.org/10.6028/NIST.AI.600-1"/>
    <hyperlink ref="C12" r:id="rId7" display="https://airc.nist.gov/airmf-resources/crosswalks/"/>
    <hyperlink ref="C13" r:id="rId8" display="https://airc.nist.gov/"/>
    <hyperlink ref="C14" r:id="rId9" display="https://www.nist.gov/programs-projects/concept-note-ai-rmf-profile-trustworthy-ai-critical-infrastructure"/>
    <hyperlink ref="C15" r:id="rId10" display="https://airc.nist.gov/airmf-resources/roadma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2026-09-08T06:24:30Z</dcterms:created>
  <dc:creator>openpyxl</dc:creator>
  <dc:description/>
  <dc:language>en-US</dc:language>
  <cp:lastModifiedBy/>
  <dcterms:modified xsi:type="dcterms:W3CDTF">2026-09-08T06:24:30Z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